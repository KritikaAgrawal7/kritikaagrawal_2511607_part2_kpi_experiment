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tikaagrawal/Desktop/capstone project Part 2/part2_kpi_experiment/outputs/"/>
    </mc:Choice>
  </mc:AlternateContent>
  <xr:revisionPtr revIDLastSave="0" documentId="13_ncr:1_{626378BA-5129-464F-B6DB-682D9A39AC30}" xr6:coauthVersionLast="47" xr6:coauthVersionMax="47" xr10:uidLastSave="{00000000-0000-0000-0000-000000000000}"/>
  <bookViews>
    <workbookView xWindow="0" yWindow="740" windowWidth="29400" windowHeight="18380" xr2:uid="{EB98B8E3-258D-E64A-A457-205963778B23}"/>
  </bookViews>
  <sheets>
    <sheet name="Overall_Summary" sheetId="1" r:id="rId1"/>
    <sheet name="Segment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4" i="1"/>
  <c r="F9" i="1"/>
  <c r="F10" i="1"/>
  <c r="F14" i="1"/>
  <c r="F13" i="1"/>
  <c r="F12" i="1"/>
  <c r="F7" i="1"/>
  <c r="F6" i="1"/>
  <c r="F5" i="1"/>
  <c r="D12" i="1"/>
  <c r="E12" i="1" s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E13" i="1"/>
  <c r="E14" i="1"/>
  <c r="E4" i="1"/>
  <c r="E8" i="1" l="1"/>
  <c r="E11" i="1"/>
  <c r="E5" i="1"/>
  <c r="E10" i="1"/>
  <c r="E9" i="1"/>
  <c r="E7" i="1"/>
  <c r="E6" i="1"/>
</calcChain>
</file>

<file path=xl/sharedStrings.xml><?xml version="1.0" encoding="utf-8"?>
<sst xmlns="http://schemas.openxmlformats.org/spreadsheetml/2006/main" count="76" uniqueCount="68">
  <si>
    <t>Overall Summary</t>
  </si>
  <si>
    <t>Metric</t>
  </si>
  <si>
    <t>Control</t>
  </si>
  <si>
    <t>Treatment</t>
  </si>
  <si>
    <t>Difference</t>
  </si>
  <si>
    <t>% Change</t>
  </si>
  <si>
    <t>User Count</t>
  </si>
  <si>
    <t>Landing Page Visit Rate</t>
  </si>
  <si>
    <t>Trial Start Rate</t>
  </si>
  <si>
    <t>Onboarding Completion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</si>
  <si>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</si>
  <si>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</si>
  <si>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</si>
  <si>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</si>
  <si>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</si>
  <si>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</si>
  <si>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S.No</t>
  </si>
  <si>
    <t>Paid Conversion Rate (North Star Metric)</t>
  </si>
  <si>
    <t xml:space="preserve">    N/A</t>
  </si>
  <si>
    <t>Analysis 1</t>
  </si>
  <si>
    <t>Paid Conversion Rate by Region</t>
  </si>
  <si>
    <t>Analysis 2</t>
  </si>
  <si>
    <t>Average Engagement Score by Device Type</t>
  </si>
  <si>
    <t>Analysis 3</t>
  </si>
  <si>
    <t>Support Ticket Rate by Traffic Source</t>
  </si>
  <si>
    <t>Region</t>
  </si>
  <si>
    <t>Control Users</t>
  </si>
  <si>
    <t>Treatment Users</t>
  </si>
  <si>
    <t>Control Conversion Rate</t>
  </si>
  <si>
    <t>Treatment Conversion Rate</t>
  </si>
  <si>
    <t>Device Type</t>
  </si>
  <si>
    <t>Traffic Source</t>
  </si>
  <si>
    <t>Control Paid</t>
  </si>
  <si>
    <t>Treatment Paid</t>
  </si>
  <si>
    <t>Difference (pp)</t>
  </si>
  <si>
    <t>East</t>
  </si>
  <si>
    <t>+3.92 pp</t>
  </si>
  <si>
    <t>North</t>
  </si>
  <si>
    <t>+5.41 pp</t>
  </si>
  <si>
    <t>South</t>
  </si>
  <si>
    <t>+4.39 pp</t>
  </si>
  <si>
    <t>West</t>
  </si>
  <si>
    <t>+1.70 pp</t>
  </si>
  <si>
    <t>Key Insights</t>
  </si>
  <si>
    <t>The Treatment group achieved a higher Paid Conversion Rate than the Control group across all four regions.</t>
  </si>
  <si>
    <t>The largest improvement was observed in the North region, where the conversion rate increased from 3.48% to 8.89%.</t>
  </si>
  <si>
    <t>Although the West region showed the smallest improvement, the Treatment still outperformed the Control, suggesting that the onboarding changes had a positive impact across all geographic segments.</t>
  </si>
  <si>
    <t>Desktop</t>
  </si>
  <si>
    <t>Mobile</t>
  </si>
  <si>
    <t>Tablet</t>
  </si>
  <si>
    <t>The Treatment group achieved a higher Average Engagement Score across all device types.</t>
  </si>
  <si>
    <t>The largest improvement was observed among Tablet users, although this segment had the smallest number of users.</t>
  </si>
  <si>
    <t>Desktop and Mobile users also demonstrated consistent improvements in engagement, suggesting that the redesigned onboarding experience positively influenced user interaction regardless of device type.</t>
  </si>
  <si>
    <t>Note: Records with missing Device Type were excluded from the segmented analysis because they represent incomplete data rather than a meaningful customer segment.</t>
  </si>
  <si>
    <t>Email</t>
  </si>
  <si>
    <t>−2.57 pp</t>
  </si>
  <si>
    <t>Organic</t>
  </si>
  <si>
    <t>+9.47 pp</t>
  </si>
  <si>
    <t>Paid Search</t>
  </si>
  <si>
    <t>+12.89 pp</t>
  </si>
  <si>
    <t>Referral</t>
  </si>
  <si>
    <t>+17.05 pp</t>
  </si>
  <si>
    <t>Social</t>
  </si>
  <si>
    <t>+10.24 pp</t>
  </si>
  <si>
    <t>The Support Ticket Rate increased for most traffic sources in the Treatment group, indicating that more users required assistance after experiencing the new onboarding flow.</t>
  </si>
  <si>
    <t>The largest increase was observed among Referral users, followed by Paid Search users, suggesting that these customer segments may require additional onboarding guidance.</t>
  </si>
  <si>
    <t>Email users were the only segment where the Support Ticket Rate decreased, indicating that the redesigned onboarding experience may have been easier for this group to navigate.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</si>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</sst>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&quot;₹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 wrapText="1"/>
    </xf>
    <xf numFmtId="10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0" fontId="0" fillId="2" borderId="1" xfId="1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4" fillId="2" borderId="0" xfId="0" applyFont="1" applyFill="1"/>
    <xf numFmtId="178" fontId="0" fillId="0" borderId="1" xfId="0" applyNumberForma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A91A-0D5B-D047-8FCC-131576CB8DDF}">
  <dimension ref="A1:F16"/>
  <sheetViews>
    <sheetView tabSelected="1" zoomScale="150" zoomScaleNormal="150" workbookViewId="0">
      <selection activeCell="D17" sqref="D17"/>
    </sheetView>
  </sheetViews>
  <sheetFormatPr baseColWidth="10" defaultRowHeight="16" x14ac:dyDescent="0.2"/>
  <cols>
    <col min="2" max="2" width="33" customWidth="1"/>
    <col min="3" max="3" width="13.5" customWidth="1"/>
    <col min="4" max="4" width="14.1640625" customWidth="1"/>
    <col min="5" max="5" width="13.33203125" customWidth="1"/>
    <col min="6" max="6" width="16.83203125" customWidth="1"/>
  </cols>
  <sheetData>
    <row r="1" spans="1:6" x14ac:dyDescent="0.2">
      <c r="A1" s="1" t="s">
        <v>0</v>
      </c>
    </row>
    <row r="3" spans="1:6" x14ac:dyDescent="0.2">
      <c r="A3" s="4" t="s">
        <v>16</v>
      </c>
      <c r="B3" s="5" t="s">
        <v>1</v>
      </c>
      <c r="C3" s="6" t="s">
        <v>2</v>
      </c>
      <c r="D3" s="6" t="s">
        <v>3</v>
      </c>
      <c r="E3" s="6" t="s">
        <v>67</v>
      </c>
      <c r="F3" s="6" t="s">
        <v>5</v>
      </c>
    </row>
    <row r="4" spans="1:6" x14ac:dyDescent="0.2">
      <c r="A4" s="4">
        <v>1</v>
      </c>
      <c r="B4" s="7" t="s">
        <v>6</v>
      </c>
      <c r="C4" s="4">
        <v>690</v>
      </c>
      <c r="D4" s="4">
        <v>710</v>
      </c>
      <c r="E4" s="4">
        <f>D4-C4</f>
        <v>20</v>
      </c>
      <c r="F4" s="10">
        <f>(E4/C4)</f>
        <v>2.8985507246376812E-2</v>
      </c>
    </row>
    <row r="5" spans="1:6" x14ac:dyDescent="0.2">
      <c r="A5" s="4">
        <v>2</v>
      </c>
      <c r="B5" s="7" t="s">
        <v>7</v>
      </c>
      <c r="C5" s="10">
        <f>439/C4</f>
        <v>0.63623188405797104</v>
      </c>
      <c r="D5" s="10">
        <f>514/D4</f>
        <v>0.72394366197183102</v>
      </c>
      <c r="E5" s="10">
        <f>D5-C5</f>
        <v>8.7711777913859978E-2</v>
      </c>
      <c r="F5" s="10">
        <f>(E5/C5)</f>
        <v>0.13786133658442684</v>
      </c>
    </row>
    <row r="6" spans="1:6" x14ac:dyDescent="0.2">
      <c r="A6" s="4">
        <v>3</v>
      </c>
      <c r="B6" s="7" t="s">
        <v>8</v>
      </c>
      <c r="C6" s="10">
        <f>173/C4</f>
        <v>0.25072463768115943</v>
      </c>
      <c r="D6" s="10">
        <f>206/D4</f>
        <v>0.29014084507042254</v>
      </c>
      <c r="E6" s="10">
        <f t="shared" ref="E6:E14" si="0">D6-C6</f>
        <v>3.9416207389263103E-2</v>
      </c>
      <c r="F6" s="10">
        <f>(E6/C6)</f>
        <v>0.15720915085891063</v>
      </c>
    </row>
    <row r="7" spans="1:6" x14ac:dyDescent="0.2">
      <c r="A7" s="4">
        <v>4</v>
      </c>
      <c r="B7" s="7" t="s">
        <v>9</v>
      </c>
      <c r="C7" s="10">
        <f>108/C4</f>
        <v>0.15652173913043479</v>
      </c>
      <c r="D7" s="10">
        <f>150/D4</f>
        <v>0.21126760563380281</v>
      </c>
      <c r="E7" s="10">
        <f t="shared" si="0"/>
        <v>5.4745866503368018E-2</v>
      </c>
      <c r="F7" s="10">
        <f>(E7/C7)</f>
        <v>0.34976525821596233</v>
      </c>
    </row>
    <row r="8" spans="1:6" x14ac:dyDescent="0.2">
      <c r="A8" s="11">
        <v>5</v>
      </c>
      <c r="B8" s="12" t="s">
        <v>17</v>
      </c>
      <c r="C8" s="13">
        <f>22/C4</f>
        <v>3.1884057971014491E-2</v>
      </c>
      <c r="D8" s="13">
        <f>50/D4</f>
        <v>7.0422535211267609E-2</v>
      </c>
      <c r="E8" s="13">
        <f t="shared" si="0"/>
        <v>3.8538477240253118E-2</v>
      </c>
      <c r="F8" s="13">
        <f>(E8/C8)</f>
        <v>1.208706786171575</v>
      </c>
    </row>
    <row r="9" spans="1:6" x14ac:dyDescent="0.2">
      <c r="A9" s="4">
        <v>6</v>
      </c>
      <c r="B9" s="7" t="s">
        <v>10</v>
      </c>
      <c r="C9" s="16">
        <f>35862.28/C4</f>
        <v>51.974318840579706</v>
      </c>
      <c r="D9" s="16">
        <f>38520.71/D4</f>
        <v>54.254521126760565</v>
      </c>
      <c r="E9" s="16">
        <f t="shared" si="0"/>
        <v>2.2802022861808595</v>
      </c>
      <c r="F9" s="10">
        <f>(E9/C9)</f>
        <v>4.387171081885461E-2</v>
      </c>
    </row>
    <row r="10" spans="1:6" x14ac:dyDescent="0.2">
      <c r="A10" s="4">
        <v>7</v>
      </c>
      <c r="B10" s="7" t="s">
        <v>11</v>
      </c>
      <c r="C10" s="16">
        <f>35862.28/22</f>
        <v>1630.1036363636363</v>
      </c>
      <c r="D10" s="16">
        <f>38520.71/50</f>
        <v>770.41419999999994</v>
      </c>
      <c r="E10" s="16">
        <f t="shared" si="0"/>
        <v>-859.68943636363633</v>
      </c>
      <c r="F10" s="10">
        <f>(E10/C10)</f>
        <v>-0.52738330078288387</v>
      </c>
    </row>
    <row r="11" spans="1:6" x14ac:dyDescent="0.2">
      <c r="A11" s="4">
        <v>8</v>
      </c>
      <c r="B11" s="7" t="s">
        <v>12</v>
      </c>
      <c r="C11" s="10">
        <f>0/C4</f>
        <v>0</v>
      </c>
      <c r="D11" s="10">
        <f>3/D4</f>
        <v>4.2253521126760559E-3</v>
      </c>
      <c r="E11" s="10">
        <f t="shared" si="0"/>
        <v>4.2253521126760559E-3</v>
      </c>
      <c r="F11" s="8" t="s">
        <v>18</v>
      </c>
    </row>
    <row r="12" spans="1:6" x14ac:dyDescent="0.2">
      <c r="A12" s="4">
        <v>9</v>
      </c>
      <c r="B12" s="7" t="s">
        <v>13</v>
      </c>
      <c r="C12" s="10">
        <f>101/C4</f>
        <v>0.1463768115942029</v>
      </c>
      <c r="D12" s="10">
        <f>177/D4</f>
        <v>0.24929577464788732</v>
      </c>
      <c r="E12" s="10">
        <f t="shared" si="0"/>
        <v>0.10291896305368442</v>
      </c>
      <c r="F12" s="10">
        <f>(E12/C12)</f>
        <v>0.70310974759447764</v>
      </c>
    </row>
    <row r="13" spans="1:6" x14ac:dyDescent="0.2">
      <c r="A13" s="4">
        <v>10</v>
      </c>
      <c r="B13" s="7" t="s">
        <v>14</v>
      </c>
      <c r="C13" s="4">
        <v>57.03</v>
      </c>
      <c r="D13" s="4">
        <v>62.94</v>
      </c>
      <c r="E13" s="4">
        <f t="shared" si="0"/>
        <v>5.9099999999999966</v>
      </c>
      <c r="F13" s="10">
        <f>(E13/C13)</f>
        <v>0.10362966859547601</v>
      </c>
    </row>
    <row r="14" spans="1:6" x14ac:dyDescent="0.2">
      <c r="A14" s="4">
        <v>11</v>
      </c>
      <c r="B14" s="7" t="s">
        <v>15</v>
      </c>
      <c r="C14" s="8">
        <v>8.8640000000000008</v>
      </c>
      <c r="D14" s="8">
        <v>6.4</v>
      </c>
      <c r="E14" s="8">
        <f t="shared" si="0"/>
        <v>-2.4640000000000004</v>
      </c>
      <c r="F14" s="10">
        <f>(E14/C14)</f>
        <v>-0.27797833935018051</v>
      </c>
    </row>
    <row r="16" spans="1:6" x14ac:dyDescent="0.2">
      <c r="A16" s="9"/>
      <c r="B16" s="9"/>
      <c r="C16" s="9"/>
      <c r="D16" s="9"/>
      <c r="E16" s="9"/>
      <c r="F16" s="9"/>
    </row>
  </sheetData>
  <mergeCells count="1"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A9E6-964F-9D49-89B2-C4245FD12796}">
  <dimension ref="A2:H46"/>
  <sheetViews>
    <sheetView workbookViewId="0">
      <selection activeCell="D13" sqref="D13"/>
    </sheetView>
  </sheetViews>
  <sheetFormatPr baseColWidth="10" defaultColWidth="22.1640625" defaultRowHeight="16" x14ac:dyDescent="0.2"/>
  <cols>
    <col min="7" max="7" width="32.83203125" customWidth="1"/>
  </cols>
  <sheetData>
    <row r="2" spans="1:8" ht="19" x14ac:dyDescent="0.25">
      <c r="A2" s="15" t="s">
        <v>19</v>
      </c>
    </row>
    <row r="3" spans="1:8" x14ac:dyDescent="0.2">
      <c r="A3" s="2" t="s">
        <v>20</v>
      </c>
    </row>
    <row r="5" spans="1:8" s="3" customFormat="1" x14ac:dyDescent="0.2">
      <c r="A5" s="6" t="s">
        <v>25</v>
      </c>
      <c r="B5" s="6" t="s">
        <v>26</v>
      </c>
      <c r="C5" s="6" t="s">
        <v>32</v>
      </c>
      <c r="D5" s="6" t="s">
        <v>28</v>
      </c>
      <c r="E5" s="6" t="s">
        <v>27</v>
      </c>
      <c r="F5" s="6" t="s">
        <v>33</v>
      </c>
      <c r="G5" s="6" t="s">
        <v>29</v>
      </c>
      <c r="H5" s="6" t="s">
        <v>34</v>
      </c>
    </row>
    <row r="6" spans="1:8" x14ac:dyDescent="0.2">
      <c r="A6" s="7" t="s">
        <v>35</v>
      </c>
      <c r="B6" s="4">
        <v>157</v>
      </c>
      <c r="C6" s="4">
        <v>4</v>
      </c>
      <c r="D6" s="14">
        <v>2.5499999999999998E-2</v>
      </c>
      <c r="E6" s="4">
        <v>170</v>
      </c>
      <c r="F6" s="4">
        <v>11</v>
      </c>
      <c r="G6" s="14">
        <v>6.4699999999999994E-2</v>
      </c>
      <c r="H6" s="6" t="s">
        <v>36</v>
      </c>
    </row>
    <row r="7" spans="1:8" x14ac:dyDescent="0.2">
      <c r="A7" s="7" t="s">
        <v>37</v>
      </c>
      <c r="B7" s="4">
        <v>201</v>
      </c>
      <c r="C7" s="4">
        <v>7</v>
      </c>
      <c r="D7" s="14">
        <v>3.4799999999999998E-2</v>
      </c>
      <c r="E7" s="4">
        <v>180</v>
      </c>
      <c r="F7" s="4">
        <v>16</v>
      </c>
      <c r="G7" s="14">
        <v>8.8900000000000007E-2</v>
      </c>
      <c r="H7" s="6" t="s">
        <v>38</v>
      </c>
    </row>
    <row r="8" spans="1:8" x14ac:dyDescent="0.2">
      <c r="A8" s="7" t="s">
        <v>39</v>
      </c>
      <c r="B8" s="4">
        <v>184</v>
      </c>
      <c r="C8" s="4">
        <v>6</v>
      </c>
      <c r="D8" s="14">
        <v>3.2599999999999997E-2</v>
      </c>
      <c r="E8" s="4">
        <v>183</v>
      </c>
      <c r="F8" s="4">
        <v>14</v>
      </c>
      <c r="G8" s="14">
        <v>7.6499999999999999E-2</v>
      </c>
      <c r="H8" s="6" t="s">
        <v>40</v>
      </c>
    </row>
    <row r="9" spans="1:8" x14ac:dyDescent="0.2">
      <c r="A9" s="7" t="s">
        <v>41</v>
      </c>
      <c r="B9" s="4">
        <v>148</v>
      </c>
      <c r="C9" s="4">
        <v>5</v>
      </c>
      <c r="D9" s="14">
        <v>3.3799999999999997E-2</v>
      </c>
      <c r="E9" s="4">
        <v>177</v>
      </c>
      <c r="F9" s="4">
        <v>9</v>
      </c>
      <c r="G9" s="14">
        <v>5.0799999999999998E-2</v>
      </c>
      <c r="H9" s="6" t="s">
        <v>42</v>
      </c>
    </row>
    <row r="11" spans="1:8" x14ac:dyDescent="0.2">
      <c r="A11" s="2" t="s">
        <v>43</v>
      </c>
    </row>
    <row r="13" spans="1:8" x14ac:dyDescent="0.2">
      <c r="A13" t="s">
        <v>44</v>
      </c>
    </row>
    <row r="14" spans="1:8" x14ac:dyDescent="0.2">
      <c r="A14" t="s">
        <v>45</v>
      </c>
    </row>
    <row r="15" spans="1:8" x14ac:dyDescent="0.2">
      <c r="A15" t="s">
        <v>46</v>
      </c>
    </row>
    <row r="17" spans="1:5" ht="19" x14ac:dyDescent="0.25">
      <c r="A17" s="15" t="s">
        <v>21</v>
      </c>
    </row>
    <row r="18" spans="1:5" x14ac:dyDescent="0.2">
      <c r="A18" s="2" t="s">
        <v>22</v>
      </c>
    </row>
    <row r="20" spans="1:5" x14ac:dyDescent="0.2">
      <c r="A20" s="6" t="s">
        <v>30</v>
      </c>
      <c r="B20" s="6" t="s">
        <v>2</v>
      </c>
      <c r="C20" s="6" t="s">
        <v>3</v>
      </c>
      <c r="D20" s="6" t="s">
        <v>4</v>
      </c>
      <c r="E20" s="6" t="s">
        <v>5</v>
      </c>
    </row>
    <row r="21" spans="1:5" x14ac:dyDescent="0.2">
      <c r="A21" s="7" t="s">
        <v>47</v>
      </c>
      <c r="B21" s="4">
        <v>57.21</v>
      </c>
      <c r="C21" s="4">
        <v>63.21</v>
      </c>
      <c r="D21" s="6">
        <v>6</v>
      </c>
      <c r="E21" s="14">
        <v>0.1048</v>
      </c>
    </row>
    <row r="22" spans="1:5" x14ac:dyDescent="0.2">
      <c r="A22" s="7" t="s">
        <v>48</v>
      </c>
      <c r="B22" s="4">
        <v>57.36</v>
      </c>
      <c r="C22" s="4">
        <v>62.81</v>
      </c>
      <c r="D22" s="6">
        <v>5.45</v>
      </c>
      <c r="E22" s="14">
        <v>9.5000000000000001E-2</v>
      </c>
    </row>
    <row r="23" spans="1:5" x14ac:dyDescent="0.2">
      <c r="A23" s="7" t="s">
        <v>49</v>
      </c>
      <c r="B23" s="4">
        <v>55.66</v>
      </c>
      <c r="C23" s="4">
        <v>63.01</v>
      </c>
      <c r="D23" s="6">
        <v>7.34</v>
      </c>
      <c r="E23" s="14">
        <v>0.13200000000000001</v>
      </c>
    </row>
    <row r="25" spans="1:5" x14ac:dyDescent="0.2">
      <c r="A25" s="2" t="s">
        <v>43</v>
      </c>
    </row>
    <row r="27" spans="1:5" x14ac:dyDescent="0.2">
      <c r="A27" t="s">
        <v>50</v>
      </c>
    </row>
    <row r="28" spans="1:5" x14ac:dyDescent="0.2">
      <c r="A28" t="s">
        <v>51</v>
      </c>
    </row>
    <row r="29" spans="1:5" x14ac:dyDescent="0.2">
      <c r="A29" t="s">
        <v>52</v>
      </c>
    </row>
    <row r="30" spans="1:5" x14ac:dyDescent="0.2">
      <c r="A30" t="s">
        <v>53</v>
      </c>
    </row>
    <row r="32" spans="1:5" ht="19" x14ac:dyDescent="0.25">
      <c r="A32" s="15" t="s">
        <v>23</v>
      </c>
    </row>
    <row r="33" spans="1:4" x14ac:dyDescent="0.2">
      <c r="A33" s="2" t="s">
        <v>24</v>
      </c>
    </row>
    <row r="35" spans="1:4" s="3" customFormat="1" x14ac:dyDescent="0.2">
      <c r="A35" s="6" t="s">
        <v>31</v>
      </c>
      <c r="B35" s="6" t="s">
        <v>2</v>
      </c>
      <c r="C35" s="6" t="s">
        <v>3</v>
      </c>
      <c r="D35" s="6" t="s">
        <v>4</v>
      </c>
    </row>
    <row r="36" spans="1:4" x14ac:dyDescent="0.2">
      <c r="A36" s="7" t="s">
        <v>54</v>
      </c>
      <c r="B36" s="14">
        <v>0.1507</v>
      </c>
      <c r="C36" s="14">
        <v>0.125</v>
      </c>
      <c r="D36" s="6" t="s">
        <v>55</v>
      </c>
    </row>
    <row r="37" spans="1:4" x14ac:dyDescent="0.2">
      <c r="A37" s="7" t="s">
        <v>56</v>
      </c>
      <c r="B37" s="14">
        <v>0.1585</v>
      </c>
      <c r="C37" s="14">
        <v>0.25319999999999998</v>
      </c>
      <c r="D37" s="6" t="s">
        <v>57</v>
      </c>
    </row>
    <row r="38" spans="1:4" x14ac:dyDescent="0.2">
      <c r="A38" s="7" t="s">
        <v>58</v>
      </c>
      <c r="B38" s="14">
        <v>0.10970000000000001</v>
      </c>
      <c r="C38" s="14">
        <v>0.23860000000000001</v>
      </c>
      <c r="D38" s="6" t="s">
        <v>59</v>
      </c>
    </row>
    <row r="39" spans="1:4" x14ac:dyDescent="0.2">
      <c r="A39" s="7" t="s">
        <v>60</v>
      </c>
      <c r="B39" s="14">
        <v>0.14810000000000001</v>
      </c>
      <c r="C39" s="14">
        <v>0.31869999999999998</v>
      </c>
      <c r="D39" s="6" t="s">
        <v>61</v>
      </c>
    </row>
    <row r="40" spans="1:4" x14ac:dyDescent="0.2">
      <c r="A40" s="7" t="s">
        <v>62</v>
      </c>
      <c r="B40" s="14">
        <v>0.1628</v>
      </c>
      <c r="C40" s="14">
        <v>0.26519999999999999</v>
      </c>
      <c r="D40" s="6" t="s">
        <v>63</v>
      </c>
    </row>
    <row r="42" spans="1:4" x14ac:dyDescent="0.2">
      <c r="A42" s="2" t="s">
        <v>43</v>
      </c>
    </row>
    <row r="44" spans="1:4" x14ac:dyDescent="0.2">
      <c r="A44" t="s">
        <v>64</v>
      </c>
    </row>
    <row r="45" spans="1:4" x14ac:dyDescent="0.2">
      <c r="A45" t="s">
        <v>65</v>
      </c>
    </row>
    <row r="46" spans="1:4" x14ac:dyDescent="0.2">
      <c r="A4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Overall_Summary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Agrawal</dc:creator>
  <cp:lastModifiedBy>Kritika Agrawal</cp:lastModifiedBy>
  <dcterms:created xsi:type="dcterms:W3CDTF">2026-06-27T07:51:43Z</dcterms:created>
  <dcterms:modified xsi:type="dcterms:W3CDTF">2026-06-27T19:24:25Z</dcterms:modified>
</cp:coreProperties>
</file>